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20115516_setu_ie/Documents/12. Paper 4/Post workshop/Element 1/"/>
    </mc:Choice>
  </mc:AlternateContent>
  <xr:revisionPtr revIDLastSave="1" documentId="11_AA7147376F47DA688CE031946C474C0A5A99BCD8" xr6:coauthVersionLast="47" xr6:coauthVersionMax="47" xr10:uidLastSave="{0982A891-CC93-4E5C-98D2-1AFA6F7CD486}"/>
  <bookViews>
    <workbookView xWindow="-110" yWindow="-110" windowWidth="22780" windowHeight="14540" xr2:uid="{00000000-000D-0000-FFFF-FFFF00000000}"/>
  </bookViews>
  <sheets>
    <sheet name="Stock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7" i="1" l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A1" i="1"/>
</calcChain>
</file>

<file path=xl/sharedStrings.xml><?xml version="1.0" encoding="utf-8"?>
<sst xmlns="http://schemas.openxmlformats.org/spreadsheetml/2006/main" count="2" uniqueCount="2">
  <si>
    <t>NVIDIA_Close</t>
  </si>
  <si>
    <t>AMD_Close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</si>
</sst>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7"/>
  <sheetViews>
    <sheetView tabSelected="1" topLeftCell="A7" workbookViewId="0">
      <selection activeCell="H14" sqref="H14"/>
    </sheetView>
  </sheetViews>
  <sheetFormatPr defaultColWidth="12.6328125" defaultRowHeight="15.75" customHeight="1" x14ac:dyDescent="0.25"/>
  <cols>
    <col min="1" max="1" width="12.6328125" style="3"/>
  </cols>
  <sheetData>
    <row r="1" spans="1:3" ht="15.75" customHeight="1" x14ac:dyDescent="0.25">
      <c r="A1" s="2" t="str">
        <f ca="1">IFERROR(__xludf.DUMMYFUNCTION("GOOGLEFINANCE(""NASDAQ:NVDA"", ""close"", DATE(2026,1,1), DATE(2026,7,20), ""DAILY"")"),"Date")</f>
        <v>Date</v>
      </c>
      <c r="B1" s="1" t="s">
        <v>0</v>
      </c>
      <c r="C1" s="1" t="s">
        <v>1</v>
      </c>
    </row>
    <row r="2" spans="1:3" ht="15.75" customHeight="1" x14ac:dyDescent="0.25">
      <c r="A2" s="2">
        <f ca="1">IFERROR(__xludf.DUMMYFUNCTION("""COMPUTED_VALUE"""),46024.6666666666)</f>
        <v>46024.666666666599</v>
      </c>
      <c r="B2" s="1">
        <f ca="1">IFERROR(__xludf.DUMMYFUNCTION("""COMPUTED_VALUE"""),188.85)</f>
        <v>188.85</v>
      </c>
      <c r="C2" s="1">
        <f ca="1">IFERROR(__xludf.DUMMYFUNCTION("""COMPUTED_VALUE"""),223.47)</f>
        <v>223.47</v>
      </c>
    </row>
    <row r="3" spans="1:3" ht="15.75" customHeight="1" x14ac:dyDescent="0.25">
      <c r="A3" s="2">
        <f ca="1">IFERROR(__xludf.DUMMYFUNCTION("""COMPUTED_VALUE"""),46027.6666666666)</f>
        <v>46027.666666666599</v>
      </c>
      <c r="B3" s="1">
        <f ca="1">IFERROR(__xludf.DUMMYFUNCTION("""COMPUTED_VALUE"""),188.12)</f>
        <v>188.12</v>
      </c>
      <c r="C3" s="1">
        <f ca="1">IFERROR(__xludf.DUMMYFUNCTION("""COMPUTED_VALUE"""),221.08)</f>
        <v>221.08</v>
      </c>
    </row>
    <row r="4" spans="1:3" ht="15.75" customHeight="1" x14ac:dyDescent="0.25">
      <c r="A4" s="2">
        <f ca="1">IFERROR(__xludf.DUMMYFUNCTION("""COMPUTED_VALUE"""),46028.6666666666)</f>
        <v>46028.666666666599</v>
      </c>
      <c r="B4" s="1">
        <f ca="1">IFERROR(__xludf.DUMMYFUNCTION("""COMPUTED_VALUE"""),187.24)</f>
        <v>187.24</v>
      </c>
      <c r="C4" s="1">
        <f ca="1">IFERROR(__xludf.DUMMYFUNCTION("""COMPUTED_VALUE"""),214.35)</f>
        <v>214.35</v>
      </c>
    </row>
    <row r="5" spans="1:3" ht="15.75" customHeight="1" x14ac:dyDescent="0.25">
      <c r="A5" s="2">
        <f ca="1">IFERROR(__xludf.DUMMYFUNCTION("""COMPUTED_VALUE"""),46029.6666666666)</f>
        <v>46029.666666666599</v>
      </c>
      <c r="B5" s="1">
        <f ca="1">IFERROR(__xludf.DUMMYFUNCTION("""COMPUTED_VALUE"""),189.11)</f>
        <v>189.11</v>
      </c>
      <c r="C5" s="1">
        <f ca="1">IFERROR(__xludf.DUMMYFUNCTION("""COMPUTED_VALUE"""),210.02)</f>
        <v>210.02</v>
      </c>
    </row>
    <row r="6" spans="1:3" ht="15.75" customHeight="1" x14ac:dyDescent="0.25">
      <c r="A6" s="2">
        <f ca="1">IFERROR(__xludf.DUMMYFUNCTION("""COMPUTED_VALUE"""),46030.6666666666)</f>
        <v>46030.666666666599</v>
      </c>
      <c r="B6" s="1">
        <f ca="1">IFERROR(__xludf.DUMMYFUNCTION("""COMPUTED_VALUE"""),185.04)</f>
        <v>185.04</v>
      </c>
      <c r="C6" s="1">
        <f ca="1">IFERROR(__xludf.DUMMYFUNCTION("""COMPUTED_VALUE"""),204.68)</f>
        <v>204.68</v>
      </c>
    </row>
    <row r="7" spans="1:3" ht="15.75" customHeight="1" x14ac:dyDescent="0.25">
      <c r="A7" s="2">
        <f ca="1">IFERROR(__xludf.DUMMYFUNCTION("""COMPUTED_VALUE"""),46031.6666666666)</f>
        <v>46031.666666666599</v>
      </c>
      <c r="B7" s="1">
        <f ca="1">IFERROR(__xludf.DUMMYFUNCTION("""COMPUTED_VALUE"""),184.86)</f>
        <v>184.86</v>
      </c>
      <c r="C7" s="1">
        <f ca="1">IFERROR(__xludf.DUMMYFUNCTION("""COMPUTED_VALUE"""),203.17)</f>
        <v>203.17</v>
      </c>
    </row>
    <row r="8" spans="1:3" ht="15.75" customHeight="1" x14ac:dyDescent="0.25">
      <c r="A8" s="2">
        <f ca="1">IFERROR(__xludf.DUMMYFUNCTION("""COMPUTED_VALUE"""),46034.6666666666)</f>
        <v>46034.666666666599</v>
      </c>
      <c r="B8" s="1">
        <f ca="1">IFERROR(__xludf.DUMMYFUNCTION("""COMPUTED_VALUE"""),184.94)</f>
        <v>184.94</v>
      </c>
      <c r="C8" s="1">
        <f ca="1">IFERROR(__xludf.DUMMYFUNCTION("""COMPUTED_VALUE"""),207.69)</f>
        <v>207.69</v>
      </c>
    </row>
    <row r="9" spans="1:3" ht="15.75" customHeight="1" x14ac:dyDescent="0.25">
      <c r="A9" s="2">
        <f ca="1">IFERROR(__xludf.DUMMYFUNCTION("""COMPUTED_VALUE"""),46035.6666666666)</f>
        <v>46035.666666666599</v>
      </c>
      <c r="B9" s="1">
        <f ca="1">IFERROR(__xludf.DUMMYFUNCTION("""COMPUTED_VALUE"""),185.81)</f>
        <v>185.81</v>
      </c>
      <c r="C9" s="1">
        <f ca="1">IFERROR(__xludf.DUMMYFUNCTION("""COMPUTED_VALUE"""),220.97)</f>
        <v>220.97</v>
      </c>
    </row>
    <row r="10" spans="1:3" ht="15.75" customHeight="1" x14ac:dyDescent="0.25">
      <c r="A10" s="2">
        <f ca="1">IFERROR(__xludf.DUMMYFUNCTION("""COMPUTED_VALUE"""),46036.6666666666)</f>
        <v>46036.666666666599</v>
      </c>
      <c r="B10" s="1">
        <f ca="1">IFERROR(__xludf.DUMMYFUNCTION("""COMPUTED_VALUE"""),183.14)</f>
        <v>183.14</v>
      </c>
      <c r="C10" s="1">
        <f ca="1">IFERROR(__xludf.DUMMYFUNCTION("""COMPUTED_VALUE"""),223.6)</f>
        <v>223.6</v>
      </c>
    </row>
    <row r="11" spans="1:3" ht="15.75" customHeight="1" x14ac:dyDescent="0.25">
      <c r="A11" s="2">
        <f ca="1">IFERROR(__xludf.DUMMYFUNCTION("""COMPUTED_VALUE"""),46037.6666666666)</f>
        <v>46037.666666666599</v>
      </c>
      <c r="B11" s="1">
        <f ca="1">IFERROR(__xludf.DUMMYFUNCTION("""COMPUTED_VALUE"""),187.05)</f>
        <v>187.05</v>
      </c>
      <c r="C11" s="1">
        <f ca="1">IFERROR(__xludf.DUMMYFUNCTION("""COMPUTED_VALUE"""),227.92)</f>
        <v>227.92</v>
      </c>
    </row>
    <row r="12" spans="1:3" ht="15.75" customHeight="1" x14ac:dyDescent="0.25">
      <c r="A12" s="2">
        <f ca="1">IFERROR(__xludf.DUMMYFUNCTION("""COMPUTED_VALUE"""),46038.6666666666)</f>
        <v>46038.666666666599</v>
      </c>
      <c r="B12" s="1">
        <f ca="1">IFERROR(__xludf.DUMMYFUNCTION("""COMPUTED_VALUE"""),186.23)</f>
        <v>186.23</v>
      </c>
      <c r="C12" s="1">
        <f ca="1">IFERROR(__xludf.DUMMYFUNCTION("""COMPUTED_VALUE"""),231.83)</f>
        <v>231.83</v>
      </c>
    </row>
    <row r="13" spans="1:3" ht="15.75" customHeight="1" x14ac:dyDescent="0.25">
      <c r="A13" s="2">
        <f ca="1">IFERROR(__xludf.DUMMYFUNCTION("""COMPUTED_VALUE"""),46042.6666666666)</f>
        <v>46042.666666666599</v>
      </c>
      <c r="B13" s="1">
        <f ca="1">IFERROR(__xludf.DUMMYFUNCTION("""COMPUTED_VALUE"""),178.07)</f>
        <v>178.07</v>
      </c>
      <c r="C13" s="1">
        <f ca="1">IFERROR(__xludf.DUMMYFUNCTION("""COMPUTED_VALUE"""),231.92)</f>
        <v>231.92</v>
      </c>
    </row>
    <row r="14" spans="1:3" ht="15.75" customHeight="1" x14ac:dyDescent="0.25">
      <c r="A14" s="2">
        <f ca="1">IFERROR(__xludf.DUMMYFUNCTION("""COMPUTED_VALUE"""),46043.6666666666)</f>
        <v>46043.666666666599</v>
      </c>
      <c r="B14" s="1">
        <f ca="1">IFERROR(__xludf.DUMMYFUNCTION("""COMPUTED_VALUE"""),183.32)</f>
        <v>183.32</v>
      </c>
      <c r="C14" s="1">
        <f ca="1">IFERROR(__xludf.DUMMYFUNCTION("""COMPUTED_VALUE"""),249.8)</f>
        <v>249.8</v>
      </c>
    </row>
    <row r="15" spans="1:3" ht="15.75" customHeight="1" x14ac:dyDescent="0.25">
      <c r="A15" s="2">
        <f ca="1">IFERROR(__xludf.DUMMYFUNCTION("""COMPUTED_VALUE"""),46044.6666666666)</f>
        <v>46044.666666666599</v>
      </c>
      <c r="B15" s="1">
        <f ca="1">IFERROR(__xludf.DUMMYFUNCTION("""COMPUTED_VALUE"""),184.84)</f>
        <v>184.84</v>
      </c>
      <c r="C15" s="1">
        <f ca="1">IFERROR(__xludf.DUMMYFUNCTION("""COMPUTED_VALUE"""),253.73)</f>
        <v>253.73</v>
      </c>
    </row>
    <row r="16" spans="1:3" ht="15.75" customHeight="1" x14ac:dyDescent="0.25">
      <c r="A16" s="2">
        <f ca="1">IFERROR(__xludf.DUMMYFUNCTION("""COMPUTED_VALUE"""),46045.6666666666)</f>
        <v>46045.666666666599</v>
      </c>
      <c r="B16" s="1">
        <f ca="1">IFERROR(__xludf.DUMMYFUNCTION("""COMPUTED_VALUE"""),187.67)</f>
        <v>187.67</v>
      </c>
      <c r="C16" s="1">
        <f ca="1">IFERROR(__xludf.DUMMYFUNCTION("""COMPUTED_VALUE"""),259.68)</f>
        <v>259.68</v>
      </c>
    </row>
    <row r="17" spans="1:3" ht="15.75" customHeight="1" x14ac:dyDescent="0.25">
      <c r="A17" s="2">
        <f ca="1">IFERROR(__xludf.DUMMYFUNCTION("""COMPUTED_VALUE"""),46048.6666666666)</f>
        <v>46048.666666666599</v>
      </c>
      <c r="B17" s="1">
        <f ca="1">IFERROR(__xludf.DUMMYFUNCTION("""COMPUTED_VALUE"""),186.47)</f>
        <v>186.47</v>
      </c>
      <c r="C17" s="1">
        <f ca="1">IFERROR(__xludf.DUMMYFUNCTION("""COMPUTED_VALUE"""),251.31)</f>
        <v>251.31</v>
      </c>
    </row>
    <row r="18" spans="1:3" ht="15.75" customHeight="1" x14ac:dyDescent="0.25">
      <c r="A18" s="2">
        <f ca="1">IFERROR(__xludf.DUMMYFUNCTION("""COMPUTED_VALUE"""),46049.6666666666)</f>
        <v>46049.666666666599</v>
      </c>
      <c r="B18" s="1">
        <f ca="1">IFERROR(__xludf.DUMMYFUNCTION("""COMPUTED_VALUE"""),188.52)</f>
        <v>188.52</v>
      </c>
      <c r="C18" s="1">
        <f ca="1">IFERROR(__xludf.DUMMYFUNCTION("""COMPUTED_VALUE"""),252.03)</f>
        <v>252.03</v>
      </c>
    </row>
    <row r="19" spans="1:3" ht="15.75" customHeight="1" x14ac:dyDescent="0.25">
      <c r="A19" s="2">
        <f ca="1">IFERROR(__xludf.DUMMYFUNCTION("""COMPUTED_VALUE"""),46050.6666666666)</f>
        <v>46050.666666666599</v>
      </c>
      <c r="B19" s="1">
        <f ca="1">IFERROR(__xludf.DUMMYFUNCTION("""COMPUTED_VALUE"""),191.52)</f>
        <v>191.52</v>
      </c>
      <c r="C19" s="1">
        <f ca="1">IFERROR(__xludf.DUMMYFUNCTION("""COMPUTED_VALUE"""),252.74)</f>
        <v>252.74</v>
      </c>
    </row>
    <row r="20" spans="1:3" ht="15.75" customHeight="1" x14ac:dyDescent="0.25">
      <c r="A20" s="2">
        <f ca="1">IFERROR(__xludf.DUMMYFUNCTION("""COMPUTED_VALUE"""),46051.6666666666)</f>
        <v>46051.666666666599</v>
      </c>
      <c r="B20" s="1">
        <f ca="1">IFERROR(__xludf.DUMMYFUNCTION("""COMPUTED_VALUE"""),192.51)</f>
        <v>192.51</v>
      </c>
      <c r="C20" s="1">
        <f ca="1">IFERROR(__xludf.DUMMYFUNCTION("""COMPUTED_VALUE"""),252.18)</f>
        <v>252.18</v>
      </c>
    </row>
    <row r="21" spans="1:3" ht="12.5" x14ac:dyDescent="0.25">
      <c r="A21" s="2">
        <f ca="1">IFERROR(__xludf.DUMMYFUNCTION("""COMPUTED_VALUE"""),46052.6666666666)</f>
        <v>46052.666666666599</v>
      </c>
      <c r="B21" s="1">
        <f ca="1">IFERROR(__xludf.DUMMYFUNCTION("""COMPUTED_VALUE"""),191.13)</f>
        <v>191.13</v>
      </c>
      <c r="C21" s="1">
        <f ca="1">IFERROR(__xludf.DUMMYFUNCTION("""COMPUTED_VALUE"""),236.73)</f>
        <v>236.73</v>
      </c>
    </row>
    <row r="22" spans="1:3" ht="12.5" x14ac:dyDescent="0.25">
      <c r="A22" s="2">
        <f ca="1">IFERROR(__xludf.DUMMYFUNCTION("""COMPUTED_VALUE"""),46055.6666666666)</f>
        <v>46055.666666666599</v>
      </c>
      <c r="B22" s="1">
        <f ca="1">IFERROR(__xludf.DUMMYFUNCTION("""COMPUTED_VALUE"""),185.61)</f>
        <v>185.61</v>
      </c>
      <c r="C22" s="1">
        <f ca="1">IFERROR(__xludf.DUMMYFUNCTION("""COMPUTED_VALUE"""),246.27)</f>
        <v>246.27</v>
      </c>
    </row>
    <row r="23" spans="1:3" ht="12.5" x14ac:dyDescent="0.25">
      <c r="A23" s="2">
        <f ca="1">IFERROR(__xludf.DUMMYFUNCTION("""COMPUTED_VALUE"""),46056.6666666666)</f>
        <v>46056.666666666599</v>
      </c>
      <c r="B23" s="1">
        <f ca="1">IFERROR(__xludf.DUMMYFUNCTION("""COMPUTED_VALUE"""),180.34)</f>
        <v>180.34</v>
      </c>
      <c r="C23" s="1">
        <f ca="1">IFERROR(__xludf.DUMMYFUNCTION("""COMPUTED_VALUE"""),242.11)</f>
        <v>242.11</v>
      </c>
    </row>
    <row r="24" spans="1:3" ht="12.5" x14ac:dyDescent="0.25">
      <c r="A24" s="2">
        <f ca="1">IFERROR(__xludf.DUMMYFUNCTION("""COMPUTED_VALUE"""),46057.6666666666)</f>
        <v>46057.666666666599</v>
      </c>
      <c r="B24" s="1">
        <f ca="1">IFERROR(__xludf.DUMMYFUNCTION("""COMPUTED_VALUE"""),174.19)</f>
        <v>174.19</v>
      </c>
      <c r="C24" s="1">
        <f ca="1">IFERROR(__xludf.DUMMYFUNCTION("""COMPUTED_VALUE"""),200.19)</f>
        <v>200.19</v>
      </c>
    </row>
    <row r="25" spans="1:3" ht="12.5" x14ac:dyDescent="0.25">
      <c r="A25" s="2">
        <f ca="1">IFERROR(__xludf.DUMMYFUNCTION("""COMPUTED_VALUE"""),46058.6666666666)</f>
        <v>46058.666666666599</v>
      </c>
      <c r="B25" s="1">
        <f ca="1">IFERROR(__xludf.DUMMYFUNCTION("""COMPUTED_VALUE"""),171.88)</f>
        <v>171.88</v>
      </c>
      <c r="C25" s="1">
        <f ca="1">IFERROR(__xludf.DUMMYFUNCTION("""COMPUTED_VALUE"""),192.5)</f>
        <v>192.5</v>
      </c>
    </row>
    <row r="26" spans="1:3" ht="12.5" x14ac:dyDescent="0.25">
      <c r="A26" s="2">
        <f ca="1">IFERROR(__xludf.DUMMYFUNCTION("""COMPUTED_VALUE"""),46059.6666666666)</f>
        <v>46059.666666666599</v>
      </c>
      <c r="B26" s="1">
        <f ca="1">IFERROR(__xludf.DUMMYFUNCTION("""COMPUTED_VALUE"""),185.41)</f>
        <v>185.41</v>
      </c>
      <c r="C26" s="1">
        <f ca="1">IFERROR(__xludf.DUMMYFUNCTION("""COMPUTED_VALUE"""),208.44)</f>
        <v>208.44</v>
      </c>
    </row>
    <row r="27" spans="1:3" ht="12.5" x14ac:dyDescent="0.25">
      <c r="A27" s="2">
        <f ca="1">IFERROR(__xludf.DUMMYFUNCTION("""COMPUTED_VALUE"""),46062.6666666666)</f>
        <v>46062.666666666599</v>
      </c>
      <c r="B27" s="1">
        <f ca="1">IFERROR(__xludf.DUMMYFUNCTION("""COMPUTED_VALUE"""),190.04)</f>
        <v>190.04</v>
      </c>
      <c r="C27" s="1">
        <f ca="1">IFERROR(__xludf.DUMMYFUNCTION("""COMPUTED_VALUE"""),216)</f>
        <v>216</v>
      </c>
    </row>
    <row r="28" spans="1:3" ht="12.5" x14ac:dyDescent="0.25">
      <c r="A28" s="2">
        <f ca="1">IFERROR(__xludf.DUMMYFUNCTION("""COMPUTED_VALUE"""),46063.6666666666)</f>
        <v>46063.666666666599</v>
      </c>
      <c r="B28" s="1">
        <f ca="1">IFERROR(__xludf.DUMMYFUNCTION("""COMPUTED_VALUE"""),188.54)</f>
        <v>188.54</v>
      </c>
      <c r="C28" s="1">
        <f ca="1">IFERROR(__xludf.DUMMYFUNCTION("""COMPUTED_VALUE"""),213.57)</f>
        <v>213.57</v>
      </c>
    </row>
    <row r="29" spans="1:3" ht="12.5" x14ac:dyDescent="0.25">
      <c r="A29" s="2">
        <f ca="1">IFERROR(__xludf.DUMMYFUNCTION("""COMPUTED_VALUE"""),46064.6666666666)</f>
        <v>46064.666666666599</v>
      </c>
      <c r="B29" s="1">
        <f ca="1">IFERROR(__xludf.DUMMYFUNCTION("""COMPUTED_VALUE"""),190.05)</f>
        <v>190.05</v>
      </c>
      <c r="C29" s="1">
        <f ca="1">IFERROR(__xludf.DUMMYFUNCTION("""COMPUTED_VALUE"""),213.58)</f>
        <v>213.58</v>
      </c>
    </row>
    <row r="30" spans="1:3" ht="12.5" x14ac:dyDescent="0.25">
      <c r="A30" s="2">
        <f ca="1">IFERROR(__xludf.DUMMYFUNCTION("""COMPUTED_VALUE"""),46065.6666666666)</f>
        <v>46065.666666666599</v>
      </c>
      <c r="B30" s="1">
        <f ca="1">IFERROR(__xludf.DUMMYFUNCTION("""COMPUTED_VALUE"""),186.94)</f>
        <v>186.94</v>
      </c>
      <c r="C30" s="1">
        <f ca="1">IFERROR(__xludf.DUMMYFUNCTION("""COMPUTED_VALUE"""),205.94)</f>
        <v>205.94</v>
      </c>
    </row>
    <row r="31" spans="1:3" ht="12.5" x14ac:dyDescent="0.25">
      <c r="A31" s="2">
        <f ca="1">IFERROR(__xludf.DUMMYFUNCTION("""COMPUTED_VALUE"""),46066.6666666666)</f>
        <v>46066.666666666599</v>
      </c>
      <c r="B31" s="1">
        <f ca="1">IFERROR(__xludf.DUMMYFUNCTION("""COMPUTED_VALUE"""),182.81)</f>
        <v>182.81</v>
      </c>
      <c r="C31" s="1">
        <f ca="1">IFERROR(__xludf.DUMMYFUNCTION("""COMPUTED_VALUE"""),207.32)</f>
        <v>207.32</v>
      </c>
    </row>
    <row r="32" spans="1:3" ht="12.5" x14ac:dyDescent="0.25">
      <c r="A32" s="2">
        <f ca="1">IFERROR(__xludf.DUMMYFUNCTION("""COMPUTED_VALUE"""),46070.6666666666)</f>
        <v>46070.666666666599</v>
      </c>
      <c r="B32" s="1">
        <f ca="1">IFERROR(__xludf.DUMMYFUNCTION("""COMPUTED_VALUE"""),184.97)</f>
        <v>184.97</v>
      </c>
      <c r="C32" s="1">
        <f ca="1">IFERROR(__xludf.DUMMYFUNCTION("""COMPUTED_VALUE"""),203.08)</f>
        <v>203.08</v>
      </c>
    </row>
    <row r="33" spans="1:3" ht="12.5" x14ac:dyDescent="0.25">
      <c r="A33" s="2">
        <f ca="1">IFERROR(__xludf.DUMMYFUNCTION("""COMPUTED_VALUE"""),46071.6666666666)</f>
        <v>46071.666666666599</v>
      </c>
      <c r="B33" s="1">
        <f ca="1">IFERROR(__xludf.DUMMYFUNCTION("""COMPUTED_VALUE"""),187.98)</f>
        <v>187.98</v>
      </c>
      <c r="C33" s="1">
        <f ca="1">IFERROR(__xludf.DUMMYFUNCTION("""COMPUTED_VALUE"""),200.12)</f>
        <v>200.12</v>
      </c>
    </row>
    <row r="34" spans="1:3" ht="12.5" x14ac:dyDescent="0.25">
      <c r="A34" s="2">
        <f ca="1">IFERROR(__xludf.DUMMYFUNCTION("""COMPUTED_VALUE"""),46072.6666666666)</f>
        <v>46072.666666666599</v>
      </c>
      <c r="B34" s="1">
        <f ca="1">IFERROR(__xludf.DUMMYFUNCTION("""COMPUTED_VALUE"""),187.9)</f>
        <v>187.9</v>
      </c>
      <c r="C34" s="1">
        <f ca="1">IFERROR(__xludf.DUMMYFUNCTION("""COMPUTED_VALUE"""),203.37)</f>
        <v>203.37</v>
      </c>
    </row>
    <row r="35" spans="1:3" ht="12.5" x14ac:dyDescent="0.25">
      <c r="A35" s="2">
        <f ca="1">IFERROR(__xludf.DUMMYFUNCTION("""COMPUTED_VALUE"""),46073.6666666666)</f>
        <v>46073.666666666599</v>
      </c>
      <c r="B35" s="1">
        <f ca="1">IFERROR(__xludf.DUMMYFUNCTION("""COMPUTED_VALUE"""),189.82)</f>
        <v>189.82</v>
      </c>
      <c r="C35" s="1">
        <f ca="1">IFERROR(__xludf.DUMMYFUNCTION("""COMPUTED_VALUE"""),200.15)</f>
        <v>200.15</v>
      </c>
    </row>
    <row r="36" spans="1:3" ht="12.5" x14ac:dyDescent="0.25">
      <c r="A36" s="2">
        <f ca="1">IFERROR(__xludf.DUMMYFUNCTION("""COMPUTED_VALUE"""),46076.6666666666)</f>
        <v>46076.666666666599</v>
      </c>
      <c r="B36" s="1">
        <f ca="1">IFERROR(__xludf.DUMMYFUNCTION("""COMPUTED_VALUE"""),191.55)</f>
        <v>191.55</v>
      </c>
      <c r="C36" s="1">
        <f ca="1">IFERROR(__xludf.DUMMYFUNCTION("""COMPUTED_VALUE"""),196.6)</f>
        <v>196.6</v>
      </c>
    </row>
    <row r="37" spans="1:3" ht="12.5" x14ac:dyDescent="0.25">
      <c r="A37" s="2">
        <f ca="1">IFERROR(__xludf.DUMMYFUNCTION("""COMPUTED_VALUE"""),46077.6666666666)</f>
        <v>46077.666666666599</v>
      </c>
      <c r="B37" s="1">
        <f ca="1">IFERROR(__xludf.DUMMYFUNCTION("""COMPUTED_VALUE"""),192.85)</f>
        <v>192.85</v>
      </c>
      <c r="C37" s="1">
        <f ca="1">IFERROR(__xludf.DUMMYFUNCTION("""COMPUTED_VALUE"""),213.84)</f>
        <v>213.84</v>
      </c>
    </row>
    <row r="38" spans="1:3" ht="12.5" x14ac:dyDescent="0.25">
      <c r="A38" s="2">
        <f ca="1">IFERROR(__xludf.DUMMYFUNCTION("""COMPUTED_VALUE"""),46078.6666666666)</f>
        <v>46078.666666666599</v>
      </c>
      <c r="B38" s="1">
        <f ca="1">IFERROR(__xludf.DUMMYFUNCTION("""COMPUTED_VALUE"""),195.56)</f>
        <v>195.56</v>
      </c>
      <c r="C38" s="1">
        <f ca="1">IFERROR(__xludf.DUMMYFUNCTION("""COMPUTED_VALUE"""),210.86)</f>
        <v>210.86</v>
      </c>
    </row>
    <row r="39" spans="1:3" ht="12.5" x14ac:dyDescent="0.25">
      <c r="A39" s="2">
        <f ca="1">IFERROR(__xludf.DUMMYFUNCTION("""COMPUTED_VALUE"""),46079.6666666666)</f>
        <v>46079.666666666599</v>
      </c>
      <c r="B39" s="1">
        <f ca="1">IFERROR(__xludf.DUMMYFUNCTION("""COMPUTED_VALUE"""),184.89)</f>
        <v>184.89</v>
      </c>
      <c r="C39" s="1">
        <f ca="1">IFERROR(__xludf.DUMMYFUNCTION("""COMPUTED_VALUE"""),203.68)</f>
        <v>203.68</v>
      </c>
    </row>
    <row r="40" spans="1:3" ht="12.5" x14ac:dyDescent="0.25">
      <c r="A40" s="2">
        <f ca="1">IFERROR(__xludf.DUMMYFUNCTION("""COMPUTED_VALUE"""),46080.6666666666)</f>
        <v>46080.666666666599</v>
      </c>
      <c r="B40" s="1">
        <f ca="1">IFERROR(__xludf.DUMMYFUNCTION("""COMPUTED_VALUE"""),177.19)</f>
        <v>177.19</v>
      </c>
      <c r="C40" s="1">
        <f ca="1">IFERROR(__xludf.DUMMYFUNCTION("""COMPUTED_VALUE"""),200.21)</f>
        <v>200.21</v>
      </c>
    </row>
    <row r="41" spans="1:3" ht="12.5" x14ac:dyDescent="0.25">
      <c r="A41" s="2">
        <f ca="1">IFERROR(__xludf.DUMMYFUNCTION("""COMPUTED_VALUE"""),46083.6666666666)</f>
        <v>46083.666666666599</v>
      </c>
      <c r="B41" s="1">
        <f ca="1">IFERROR(__xludf.DUMMYFUNCTION("""COMPUTED_VALUE"""),182.48)</f>
        <v>182.48</v>
      </c>
      <c r="C41" s="1">
        <f ca="1">IFERROR(__xludf.DUMMYFUNCTION("""COMPUTED_VALUE"""),198.62)</f>
        <v>198.62</v>
      </c>
    </row>
    <row r="42" spans="1:3" ht="12.5" x14ac:dyDescent="0.25">
      <c r="A42" s="2">
        <f ca="1">IFERROR(__xludf.DUMMYFUNCTION("""COMPUTED_VALUE"""),46084.6666666666)</f>
        <v>46084.666666666599</v>
      </c>
      <c r="B42" s="1">
        <f ca="1">IFERROR(__xludf.DUMMYFUNCTION("""COMPUTED_VALUE"""),180.05)</f>
        <v>180.05</v>
      </c>
      <c r="C42" s="1">
        <f ca="1">IFERROR(__xludf.DUMMYFUNCTION("""COMPUTED_VALUE"""),190.95)</f>
        <v>190.95</v>
      </c>
    </row>
    <row r="43" spans="1:3" ht="12.5" x14ac:dyDescent="0.25">
      <c r="A43" s="2">
        <f ca="1">IFERROR(__xludf.DUMMYFUNCTION("""COMPUTED_VALUE"""),46085.6666666666)</f>
        <v>46085.666666666599</v>
      </c>
      <c r="B43" s="1">
        <f ca="1">IFERROR(__xludf.DUMMYFUNCTION("""COMPUTED_VALUE"""),183.04)</f>
        <v>183.04</v>
      </c>
      <c r="C43" s="1">
        <f ca="1">IFERROR(__xludf.DUMMYFUNCTION("""COMPUTED_VALUE"""),202.07)</f>
        <v>202.07</v>
      </c>
    </row>
    <row r="44" spans="1:3" ht="12.5" x14ac:dyDescent="0.25">
      <c r="A44" s="2">
        <f ca="1">IFERROR(__xludf.DUMMYFUNCTION("""COMPUTED_VALUE"""),46086.6666666666)</f>
        <v>46086.666666666599</v>
      </c>
      <c r="B44" s="1">
        <f ca="1">IFERROR(__xludf.DUMMYFUNCTION("""COMPUTED_VALUE"""),183.34)</f>
        <v>183.34</v>
      </c>
      <c r="C44" s="1">
        <f ca="1">IFERROR(__xludf.DUMMYFUNCTION("""COMPUTED_VALUE"""),199.45)</f>
        <v>199.45</v>
      </c>
    </row>
    <row r="45" spans="1:3" ht="12.5" x14ac:dyDescent="0.25">
      <c r="A45" s="2">
        <f ca="1">IFERROR(__xludf.DUMMYFUNCTION("""COMPUTED_VALUE"""),46087.6666666666)</f>
        <v>46087.666666666599</v>
      </c>
      <c r="B45" s="1">
        <f ca="1">IFERROR(__xludf.DUMMYFUNCTION("""COMPUTED_VALUE"""),177.82)</f>
        <v>177.82</v>
      </c>
      <c r="C45" s="1">
        <f ca="1">IFERROR(__xludf.DUMMYFUNCTION("""COMPUTED_VALUE"""),192.43)</f>
        <v>192.43</v>
      </c>
    </row>
    <row r="46" spans="1:3" ht="12.5" x14ac:dyDescent="0.25">
      <c r="A46" s="2">
        <f ca="1">IFERROR(__xludf.DUMMYFUNCTION("""COMPUTED_VALUE"""),46090.6666666666)</f>
        <v>46090.666666666599</v>
      </c>
      <c r="B46" s="1">
        <f ca="1">IFERROR(__xludf.DUMMYFUNCTION("""COMPUTED_VALUE"""),182.65)</f>
        <v>182.65</v>
      </c>
      <c r="C46" s="1">
        <f ca="1">IFERROR(__xludf.DUMMYFUNCTION("""COMPUTED_VALUE"""),202.68)</f>
        <v>202.68</v>
      </c>
    </row>
    <row r="47" spans="1:3" ht="12.5" x14ac:dyDescent="0.25">
      <c r="A47" s="2">
        <f ca="1">IFERROR(__xludf.DUMMYFUNCTION("""COMPUTED_VALUE"""),46091.6666666666)</f>
        <v>46091.666666666599</v>
      </c>
      <c r="B47" s="1">
        <f ca="1">IFERROR(__xludf.DUMMYFUNCTION("""COMPUTED_VALUE"""),184.77)</f>
        <v>184.77</v>
      </c>
      <c r="C47" s="1">
        <f ca="1">IFERROR(__xludf.DUMMYFUNCTION("""COMPUTED_VALUE"""),203.23)</f>
        <v>203.23</v>
      </c>
    </row>
    <row r="48" spans="1:3" ht="12.5" x14ac:dyDescent="0.25">
      <c r="A48" s="2">
        <f ca="1">IFERROR(__xludf.DUMMYFUNCTION("""COMPUTED_VALUE"""),46092.6666666666)</f>
        <v>46092.666666666599</v>
      </c>
      <c r="B48" s="1">
        <f ca="1">IFERROR(__xludf.DUMMYFUNCTION("""COMPUTED_VALUE"""),186.03)</f>
        <v>186.03</v>
      </c>
      <c r="C48" s="1">
        <f ca="1">IFERROR(__xludf.DUMMYFUNCTION("""COMPUTED_VALUE"""),204.83)</f>
        <v>204.83</v>
      </c>
    </row>
    <row r="49" spans="1:3" ht="12.5" x14ac:dyDescent="0.25">
      <c r="A49" s="2">
        <f ca="1">IFERROR(__xludf.DUMMYFUNCTION("""COMPUTED_VALUE"""),46093.6666666666)</f>
        <v>46093.666666666599</v>
      </c>
      <c r="B49" s="1">
        <f ca="1">IFERROR(__xludf.DUMMYFUNCTION("""COMPUTED_VALUE"""),183.14)</f>
        <v>183.14</v>
      </c>
      <c r="C49" s="1">
        <f ca="1">IFERROR(__xludf.DUMMYFUNCTION("""COMPUTED_VALUE"""),197.74)</f>
        <v>197.74</v>
      </c>
    </row>
    <row r="50" spans="1:3" ht="12.5" x14ac:dyDescent="0.25">
      <c r="A50" s="2">
        <f ca="1">IFERROR(__xludf.DUMMYFUNCTION("""COMPUTED_VALUE"""),46094.6666666666)</f>
        <v>46094.666666666599</v>
      </c>
      <c r="B50" s="1">
        <f ca="1">IFERROR(__xludf.DUMMYFUNCTION("""COMPUTED_VALUE"""),180.25)</f>
        <v>180.25</v>
      </c>
      <c r="C50" s="1">
        <f ca="1">IFERROR(__xludf.DUMMYFUNCTION("""COMPUTED_VALUE"""),193.39)</f>
        <v>193.39</v>
      </c>
    </row>
    <row r="51" spans="1:3" ht="12.5" x14ac:dyDescent="0.25">
      <c r="A51" s="2">
        <f ca="1">IFERROR(__xludf.DUMMYFUNCTION("""COMPUTED_VALUE"""),46097.6666666666)</f>
        <v>46097.666666666599</v>
      </c>
      <c r="B51" s="1">
        <f ca="1">IFERROR(__xludf.DUMMYFUNCTION("""COMPUTED_VALUE"""),183.22)</f>
        <v>183.22</v>
      </c>
      <c r="C51" s="1">
        <f ca="1">IFERROR(__xludf.DUMMYFUNCTION("""COMPUTED_VALUE"""),196.58)</f>
        <v>196.58</v>
      </c>
    </row>
    <row r="52" spans="1:3" ht="12.5" x14ac:dyDescent="0.25">
      <c r="A52" s="2">
        <f ca="1">IFERROR(__xludf.DUMMYFUNCTION("""COMPUTED_VALUE"""),46098.6666666666)</f>
        <v>46098.666666666599</v>
      </c>
      <c r="B52" s="1">
        <f ca="1">IFERROR(__xludf.DUMMYFUNCTION("""COMPUTED_VALUE"""),181.93)</f>
        <v>181.93</v>
      </c>
      <c r="C52" s="1">
        <f ca="1">IFERROR(__xludf.DUMMYFUNCTION("""COMPUTED_VALUE"""),196.31)</f>
        <v>196.31</v>
      </c>
    </row>
    <row r="53" spans="1:3" ht="12.5" x14ac:dyDescent="0.25">
      <c r="A53" s="2">
        <f ca="1">IFERROR(__xludf.DUMMYFUNCTION("""COMPUTED_VALUE"""),46099.6666666666)</f>
        <v>46099.666666666599</v>
      </c>
      <c r="B53" s="1">
        <f ca="1">IFERROR(__xludf.DUMMYFUNCTION("""COMPUTED_VALUE"""),180.4)</f>
        <v>180.4</v>
      </c>
      <c r="C53" s="1">
        <f ca="1">IFERROR(__xludf.DUMMYFUNCTION("""COMPUTED_VALUE"""),199.46)</f>
        <v>199.46</v>
      </c>
    </row>
    <row r="54" spans="1:3" ht="12.5" x14ac:dyDescent="0.25">
      <c r="A54" s="2">
        <f ca="1">IFERROR(__xludf.DUMMYFUNCTION("""COMPUTED_VALUE"""),46100.6666666666)</f>
        <v>46100.666666666599</v>
      </c>
      <c r="B54" s="1">
        <f ca="1">IFERROR(__xludf.DUMMYFUNCTION("""COMPUTED_VALUE"""),178.56)</f>
        <v>178.56</v>
      </c>
      <c r="C54" s="1">
        <f ca="1">IFERROR(__xludf.DUMMYFUNCTION("""COMPUTED_VALUE"""),205.27)</f>
        <v>205.27</v>
      </c>
    </row>
    <row r="55" spans="1:3" ht="12.5" x14ac:dyDescent="0.25">
      <c r="A55" s="2">
        <f ca="1">IFERROR(__xludf.DUMMYFUNCTION("""COMPUTED_VALUE"""),46101.6666666666)</f>
        <v>46101.666666666599</v>
      </c>
      <c r="B55" s="1">
        <f ca="1">IFERROR(__xludf.DUMMYFUNCTION("""COMPUTED_VALUE"""),172.7)</f>
        <v>172.7</v>
      </c>
      <c r="C55" s="1">
        <f ca="1">IFERROR(__xludf.DUMMYFUNCTION("""COMPUTED_VALUE"""),201.33)</f>
        <v>201.33</v>
      </c>
    </row>
    <row r="56" spans="1:3" ht="12.5" x14ac:dyDescent="0.25">
      <c r="A56" s="2">
        <f ca="1">IFERROR(__xludf.DUMMYFUNCTION("""COMPUTED_VALUE"""),46104.6666666666)</f>
        <v>46104.666666666599</v>
      </c>
      <c r="B56" s="1">
        <f ca="1">IFERROR(__xludf.DUMMYFUNCTION("""COMPUTED_VALUE"""),175.64)</f>
        <v>175.64</v>
      </c>
      <c r="C56" s="1">
        <f ca="1">IFERROR(__xludf.DUMMYFUNCTION("""COMPUTED_VALUE"""),202.68)</f>
        <v>202.68</v>
      </c>
    </row>
    <row r="57" spans="1:3" ht="12.5" x14ac:dyDescent="0.25">
      <c r="A57" s="2">
        <f ca="1">IFERROR(__xludf.DUMMYFUNCTION("""COMPUTED_VALUE"""),46105.6666666666)</f>
        <v>46105.666666666599</v>
      </c>
      <c r="B57" s="1">
        <f ca="1">IFERROR(__xludf.DUMMYFUNCTION("""COMPUTED_VALUE"""),175.2)</f>
        <v>175.2</v>
      </c>
      <c r="C57" s="1">
        <f ca="1">IFERROR(__xludf.DUMMYFUNCTION("""COMPUTED_VALUE"""),205.37)</f>
        <v>205.37</v>
      </c>
    </row>
    <row r="58" spans="1:3" ht="12.5" x14ac:dyDescent="0.25">
      <c r="A58" s="2">
        <f ca="1">IFERROR(__xludf.DUMMYFUNCTION("""COMPUTED_VALUE"""),46106.6666666666)</f>
        <v>46106.666666666599</v>
      </c>
      <c r="B58" s="1">
        <f ca="1">IFERROR(__xludf.DUMMYFUNCTION("""COMPUTED_VALUE"""),178.68)</f>
        <v>178.68</v>
      </c>
      <c r="C58" s="1">
        <f ca="1">IFERROR(__xludf.DUMMYFUNCTION("""COMPUTED_VALUE"""),220.27)</f>
        <v>220.27</v>
      </c>
    </row>
    <row r="59" spans="1:3" ht="12.5" x14ac:dyDescent="0.25">
      <c r="A59" s="2">
        <f ca="1">IFERROR(__xludf.DUMMYFUNCTION("""COMPUTED_VALUE"""),46107.6666666666)</f>
        <v>46107.666666666599</v>
      </c>
      <c r="B59" s="1">
        <f ca="1">IFERROR(__xludf.DUMMYFUNCTION("""COMPUTED_VALUE"""),171.24)</f>
        <v>171.24</v>
      </c>
      <c r="C59" s="1">
        <f ca="1">IFERROR(__xludf.DUMMYFUNCTION("""COMPUTED_VALUE"""),203.77)</f>
        <v>203.77</v>
      </c>
    </row>
    <row r="60" spans="1:3" ht="12.5" x14ac:dyDescent="0.25">
      <c r="A60" s="2">
        <f ca="1">IFERROR(__xludf.DUMMYFUNCTION("""COMPUTED_VALUE"""),46108.6666666666)</f>
        <v>46108.666666666599</v>
      </c>
      <c r="B60" s="1">
        <f ca="1">IFERROR(__xludf.DUMMYFUNCTION("""COMPUTED_VALUE"""),167.52)</f>
        <v>167.52</v>
      </c>
      <c r="C60" s="1">
        <f ca="1">IFERROR(__xludf.DUMMYFUNCTION("""COMPUTED_VALUE"""),201.99)</f>
        <v>201.99</v>
      </c>
    </row>
    <row r="61" spans="1:3" ht="12.5" x14ac:dyDescent="0.25">
      <c r="A61" s="2">
        <f ca="1">IFERROR(__xludf.DUMMYFUNCTION("""COMPUTED_VALUE"""),46111.6666666666)</f>
        <v>46111.666666666599</v>
      </c>
      <c r="B61" s="1">
        <f ca="1">IFERROR(__xludf.DUMMYFUNCTION("""COMPUTED_VALUE"""),165.17)</f>
        <v>165.17</v>
      </c>
      <c r="C61" s="1">
        <f ca="1">IFERROR(__xludf.DUMMYFUNCTION("""COMPUTED_VALUE"""),196.04)</f>
        <v>196.04</v>
      </c>
    </row>
    <row r="62" spans="1:3" ht="12.5" x14ac:dyDescent="0.25">
      <c r="A62" s="2">
        <f ca="1">IFERROR(__xludf.DUMMYFUNCTION("""COMPUTED_VALUE"""),46112.6666666666)</f>
        <v>46112.666666666599</v>
      </c>
      <c r="B62" s="1">
        <f ca="1">IFERROR(__xludf.DUMMYFUNCTION("""COMPUTED_VALUE"""),174.4)</f>
        <v>174.4</v>
      </c>
      <c r="C62" s="1">
        <f ca="1">IFERROR(__xludf.DUMMYFUNCTION("""COMPUTED_VALUE"""),203.43)</f>
        <v>203.43</v>
      </c>
    </row>
    <row r="63" spans="1:3" ht="12.5" x14ac:dyDescent="0.25">
      <c r="A63" s="2">
        <f ca="1">IFERROR(__xludf.DUMMYFUNCTION("""COMPUTED_VALUE"""),46113.6666666666)</f>
        <v>46113.666666666599</v>
      </c>
      <c r="B63" s="1">
        <f ca="1">IFERROR(__xludf.DUMMYFUNCTION("""COMPUTED_VALUE"""),175.75)</f>
        <v>175.75</v>
      </c>
      <c r="C63" s="1">
        <f ca="1">IFERROR(__xludf.DUMMYFUNCTION("""COMPUTED_VALUE"""),210.21)</f>
        <v>210.21</v>
      </c>
    </row>
    <row r="64" spans="1:3" ht="12.5" x14ac:dyDescent="0.25">
      <c r="A64" s="2">
        <f ca="1">IFERROR(__xludf.DUMMYFUNCTION("""COMPUTED_VALUE"""),46114.6666666666)</f>
        <v>46114.666666666599</v>
      </c>
      <c r="B64" s="1">
        <f ca="1">IFERROR(__xludf.DUMMYFUNCTION("""COMPUTED_VALUE"""),177.39)</f>
        <v>177.39</v>
      </c>
      <c r="C64" s="1">
        <f ca="1">IFERROR(__xludf.DUMMYFUNCTION("""COMPUTED_VALUE"""),217.5)</f>
        <v>217.5</v>
      </c>
    </row>
    <row r="65" spans="1:3" ht="12.5" x14ac:dyDescent="0.25">
      <c r="A65" s="2">
        <f ca="1">IFERROR(__xludf.DUMMYFUNCTION("""COMPUTED_VALUE"""),46118.6666666666)</f>
        <v>46118.666666666599</v>
      </c>
      <c r="B65" s="1">
        <f ca="1">IFERROR(__xludf.DUMMYFUNCTION("""COMPUTED_VALUE"""),177.64)</f>
        <v>177.64</v>
      </c>
      <c r="C65" s="1">
        <f ca="1">IFERROR(__xludf.DUMMYFUNCTION("""COMPUTED_VALUE"""),220.18)</f>
        <v>220.18</v>
      </c>
    </row>
    <row r="66" spans="1:3" ht="12.5" x14ac:dyDescent="0.25">
      <c r="A66" s="2">
        <f ca="1">IFERROR(__xludf.DUMMYFUNCTION("""COMPUTED_VALUE"""),46119.6666666666)</f>
        <v>46119.666666666599</v>
      </c>
      <c r="B66" s="1">
        <f ca="1">IFERROR(__xludf.DUMMYFUNCTION("""COMPUTED_VALUE"""),178.1)</f>
        <v>178.1</v>
      </c>
      <c r="C66" s="1">
        <f ca="1">IFERROR(__xludf.DUMMYFUNCTION("""COMPUTED_VALUE"""),221.53)</f>
        <v>221.53</v>
      </c>
    </row>
    <row r="67" spans="1:3" ht="12.5" x14ac:dyDescent="0.25">
      <c r="A67" s="2">
        <f ca="1">IFERROR(__xludf.DUMMYFUNCTION("""COMPUTED_VALUE"""),46120.6666666666)</f>
        <v>46120.666666666599</v>
      </c>
      <c r="B67" s="1">
        <f ca="1">IFERROR(__xludf.DUMMYFUNCTION("""COMPUTED_VALUE"""),182.08)</f>
        <v>182.08</v>
      </c>
      <c r="C67" s="1">
        <f ca="1">IFERROR(__xludf.DUMMYFUNCTION("""COMPUTED_VALUE"""),231.82)</f>
        <v>231.82</v>
      </c>
    </row>
    <row r="68" spans="1:3" ht="12.5" x14ac:dyDescent="0.25">
      <c r="A68" s="2">
        <f ca="1">IFERROR(__xludf.DUMMYFUNCTION("""COMPUTED_VALUE"""),46121.6666666666)</f>
        <v>46121.666666666599</v>
      </c>
      <c r="B68" s="1">
        <f ca="1">IFERROR(__xludf.DUMMYFUNCTION("""COMPUTED_VALUE"""),183.91)</f>
        <v>183.91</v>
      </c>
      <c r="C68" s="1">
        <f ca="1">IFERROR(__xludf.DUMMYFUNCTION("""COMPUTED_VALUE"""),236.64)</f>
        <v>236.64</v>
      </c>
    </row>
    <row r="69" spans="1:3" ht="12.5" x14ac:dyDescent="0.25">
      <c r="A69" s="2">
        <f ca="1">IFERROR(__xludf.DUMMYFUNCTION("""COMPUTED_VALUE"""),46122.6666666666)</f>
        <v>46122.666666666599</v>
      </c>
      <c r="B69" s="1">
        <f ca="1">IFERROR(__xludf.DUMMYFUNCTION("""COMPUTED_VALUE"""),188.63)</f>
        <v>188.63</v>
      </c>
      <c r="C69" s="1">
        <f ca="1">IFERROR(__xludf.DUMMYFUNCTION("""COMPUTED_VALUE"""),245.04)</f>
        <v>245.04</v>
      </c>
    </row>
    <row r="70" spans="1:3" ht="12.5" x14ac:dyDescent="0.25">
      <c r="A70" s="2">
        <f ca="1">IFERROR(__xludf.DUMMYFUNCTION("""COMPUTED_VALUE"""),46125.6666666666)</f>
        <v>46125.666666666599</v>
      </c>
      <c r="B70" s="1">
        <f ca="1">IFERROR(__xludf.DUMMYFUNCTION("""COMPUTED_VALUE"""),189.31)</f>
        <v>189.31</v>
      </c>
      <c r="C70" s="1">
        <f ca="1">IFERROR(__xludf.DUMMYFUNCTION("""COMPUTED_VALUE"""),246.83)</f>
        <v>246.83</v>
      </c>
    </row>
    <row r="71" spans="1:3" ht="12.5" x14ac:dyDescent="0.25">
      <c r="A71" s="2">
        <f ca="1">IFERROR(__xludf.DUMMYFUNCTION("""COMPUTED_VALUE"""),46126.6666666666)</f>
        <v>46126.666666666599</v>
      </c>
      <c r="B71" s="1">
        <f ca="1">IFERROR(__xludf.DUMMYFUNCTION("""COMPUTED_VALUE"""),196.51)</f>
        <v>196.51</v>
      </c>
      <c r="C71" s="1">
        <f ca="1">IFERROR(__xludf.DUMMYFUNCTION("""COMPUTED_VALUE"""),255.07)</f>
        <v>255.07</v>
      </c>
    </row>
    <row r="72" spans="1:3" ht="12.5" x14ac:dyDescent="0.25">
      <c r="A72" s="2">
        <f ca="1">IFERROR(__xludf.DUMMYFUNCTION("""COMPUTED_VALUE"""),46127.6666666666)</f>
        <v>46127.666666666599</v>
      </c>
      <c r="B72" s="1">
        <f ca="1">IFERROR(__xludf.DUMMYFUNCTION("""COMPUTED_VALUE"""),198.87)</f>
        <v>198.87</v>
      </c>
      <c r="C72" s="1">
        <f ca="1">IFERROR(__xludf.DUMMYFUNCTION("""COMPUTED_VALUE"""),258.12)</f>
        <v>258.12</v>
      </c>
    </row>
    <row r="73" spans="1:3" ht="12.5" x14ac:dyDescent="0.25">
      <c r="A73" s="2">
        <f ca="1">IFERROR(__xludf.DUMMYFUNCTION("""COMPUTED_VALUE"""),46128.6666666666)</f>
        <v>46128.666666666599</v>
      </c>
      <c r="B73" s="1">
        <f ca="1">IFERROR(__xludf.DUMMYFUNCTION("""COMPUTED_VALUE"""),198.35)</f>
        <v>198.35</v>
      </c>
      <c r="C73" s="1">
        <f ca="1">IFERROR(__xludf.DUMMYFUNCTION("""COMPUTED_VALUE"""),278.26)</f>
        <v>278.26</v>
      </c>
    </row>
    <row r="74" spans="1:3" ht="12.5" x14ac:dyDescent="0.25">
      <c r="A74" s="2">
        <f ca="1">IFERROR(__xludf.DUMMYFUNCTION("""COMPUTED_VALUE"""),46129.6666666666)</f>
        <v>46129.666666666599</v>
      </c>
      <c r="B74" s="1">
        <f ca="1">IFERROR(__xludf.DUMMYFUNCTION("""COMPUTED_VALUE"""),201.68)</f>
        <v>201.68</v>
      </c>
      <c r="C74" s="1">
        <f ca="1">IFERROR(__xludf.DUMMYFUNCTION("""COMPUTED_VALUE"""),278.39)</f>
        <v>278.39</v>
      </c>
    </row>
    <row r="75" spans="1:3" ht="12.5" x14ac:dyDescent="0.25">
      <c r="A75" s="2">
        <f ca="1">IFERROR(__xludf.DUMMYFUNCTION("""COMPUTED_VALUE"""),46132.6666666666)</f>
        <v>46132.666666666599</v>
      </c>
      <c r="B75" s="1">
        <f ca="1">IFERROR(__xludf.DUMMYFUNCTION("""COMPUTED_VALUE"""),202.06)</f>
        <v>202.06</v>
      </c>
      <c r="C75" s="1">
        <f ca="1">IFERROR(__xludf.DUMMYFUNCTION("""COMPUTED_VALUE"""),274.95)</f>
        <v>274.95</v>
      </c>
    </row>
    <row r="76" spans="1:3" ht="12.5" x14ac:dyDescent="0.25">
      <c r="A76" s="2">
        <f ca="1">IFERROR(__xludf.DUMMYFUNCTION("""COMPUTED_VALUE"""),46133.6666666666)</f>
        <v>46133.666666666599</v>
      </c>
      <c r="B76" s="1">
        <f ca="1">IFERROR(__xludf.DUMMYFUNCTION("""COMPUTED_VALUE"""),199.88)</f>
        <v>199.88</v>
      </c>
      <c r="C76" s="1">
        <f ca="1">IFERROR(__xludf.DUMMYFUNCTION("""COMPUTED_VALUE"""),284.49)</f>
        <v>284.49</v>
      </c>
    </row>
    <row r="77" spans="1:3" ht="12.5" x14ac:dyDescent="0.25">
      <c r="A77" s="2">
        <f ca="1">IFERROR(__xludf.DUMMYFUNCTION("""COMPUTED_VALUE"""),46134.6666666666)</f>
        <v>46134.666666666599</v>
      </c>
      <c r="B77" s="1">
        <f ca="1">IFERROR(__xludf.DUMMYFUNCTION("""COMPUTED_VALUE"""),202.5)</f>
        <v>202.5</v>
      </c>
      <c r="C77" s="1">
        <f ca="1">IFERROR(__xludf.DUMMYFUNCTION("""COMPUTED_VALUE"""),303.46)</f>
        <v>303.45999999999998</v>
      </c>
    </row>
    <row r="78" spans="1:3" ht="12.5" x14ac:dyDescent="0.25">
      <c r="A78" s="2">
        <f ca="1">IFERROR(__xludf.DUMMYFUNCTION("""COMPUTED_VALUE"""),46135.6666666666)</f>
        <v>46135.666666666599</v>
      </c>
      <c r="B78" s="1">
        <f ca="1">IFERROR(__xludf.DUMMYFUNCTION("""COMPUTED_VALUE"""),199.64)</f>
        <v>199.64</v>
      </c>
      <c r="C78" s="1">
        <f ca="1">IFERROR(__xludf.DUMMYFUNCTION("""COMPUTED_VALUE"""),305.33)</f>
        <v>305.33</v>
      </c>
    </row>
    <row r="79" spans="1:3" ht="12.5" x14ac:dyDescent="0.25">
      <c r="A79" s="2">
        <f ca="1">IFERROR(__xludf.DUMMYFUNCTION("""COMPUTED_VALUE"""),46136.6666666666)</f>
        <v>46136.666666666599</v>
      </c>
      <c r="B79" s="1">
        <f ca="1">IFERROR(__xludf.DUMMYFUNCTION("""COMPUTED_VALUE"""),208.27)</f>
        <v>208.27</v>
      </c>
      <c r="C79" s="1">
        <f ca="1">IFERROR(__xludf.DUMMYFUNCTION("""COMPUTED_VALUE"""),347.81)</f>
        <v>347.81</v>
      </c>
    </row>
    <row r="80" spans="1:3" ht="12.5" x14ac:dyDescent="0.25">
      <c r="A80" s="2">
        <f ca="1">IFERROR(__xludf.DUMMYFUNCTION("""COMPUTED_VALUE"""),46139.6666666666)</f>
        <v>46139.666666666599</v>
      </c>
      <c r="B80" s="1">
        <f ca="1">IFERROR(__xludf.DUMMYFUNCTION("""COMPUTED_VALUE"""),216.61)</f>
        <v>216.61</v>
      </c>
      <c r="C80" s="1">
        <f ca="1">IFERROR(__xludf.DUMMYFUNCTION("""COMPUTED_VALUE"""),334.63)</f>
        <v>334.63</v>
      </c>
    </row>
    <row r="81" spans="1:3" ht="12.5" x14ac:dyDescent="0.25">
      <c r="A81" s="2">
        <f ca="1">IFERROR(__xludf.DUMMYFUNCTION("""COMPUTED_VALUE"""),46140.6666666666)</f>
        <v>46140.666666666599</v>
      </c>
      <c r="B81" s="1">
        <f ca="1">IFERROR(__xludf.DUMMYFUNCTION("""COMPUTED_VALUE"""),213.17)</f>
        <v>213.17</v>
      </c>
      <c r="C81" s="1">
        <f ca="1">IFERROR(__xludf.DUMMYFUNCTION("""COMPUTED_VALUE"""),323.21)</f>
        <v>323.20999999999998</v>
      </c>
    </row>
    <row r="82" spans="1:3" ht="12.5" x14ac:dyDescent="0.25">
      <c r="A82" s="2">
        <f ca="1">IFERROR(__xludf.DUMMYFUNCTION("""COMPUTED_VALUE"""),46141.6666666666)</f>
        <v>46141.666666666599</v>
      </c>
      <c r="B82" s="1">
        <f ca="1">IFERROR(__xludf.DUMMYFUNCTION("""COMPUTED_VALUE"""),209.25)</f>
        <v>209.25</v>
      </c>
      <c r="C82" s="1">
        <f ca="1">IFERROR(__xludf.DUMMYFUNCTION("""COMPUTED_VALUE"""),337.11)</f>
        <v>337.11</v>
      </c>
    </row>
    <row r="83" spans="1:3" ht="12.5" x14ac:dyDescent="0.25">
      <c r="A83" s="2">
        <f ca="1">IFERROR(__xludf.DUMMYFUNCTION("""COMPUTED_VALUE"""),46142.6666666666)</f>
        <v>46142.666666666599</v>
      </c>
      <c r="B83" s="1">
        <f ca="1">IFERROR(__xludf.DUMMYFUNCTION("""COMPUTED_VALUE"""),199.57)</f>
        <v>199.57</v>
      </c>
      <c r="C83" s="1">
        <f ca="1">IFERROR(__xludf.DUMMYFUNCTION("""COMPUTED_VALUE"""),354.49)</f>
        <v>354.49</v>
      </c>
    </row>
    <row r="84" spans="1:3" ht="12.5" x14ac:dyDescent="0.25">
      <c r="A84" s="2">
        <f ca="1">IFERROR(__xludf.DUMMYFUNCTION("""COMPUTED_VALUE"""),46143.6666666666)</f>
        <v>46143.666666666599</v>
      </c>
      <c r="B84" s="1">
        <f ca="1">IFERROR(__xludf.DUMMYFUNCTION("""COMPUTED_VALUE"""),198.45)</f>
        <v>198.45</v>
      </c>
      <c r="C84" s="1">
        <f ca="1">IFERROR(__xludf.DUMMYFUNCTION("""COMPUTED_VALUE"""),360.54)</f>
        <v>360.54</v>
      </c>
    </row>
    <row r="85" spans="1:3" ht="12.5" x14ac:dyDescent="0.25">
      <c r="A85" s="2">
        <f ca="1">IFERROR(__xludf.DUMMYFUNCTION("""COMPUTED_VALUE"""),46146.6666666666)</f>
        <v>46146.666666666599</v>
      </c>
      <c r="B85" s="1">
        <f ca="1">IFERROR(__xludf.DUMMYFUNCTION("""COMPUTED_VALUE"""),198.48)</f>
        <v>198.48</v>
      </c>
      <c r="C85" s="1">
        <f ca="1">IFERROR(__xludf.DUMMYFUNCTION("""COMPUTED_VALUE"""),341.54)</f>
        <v>341.54</v>
      </c>
    </row>
    <row r="86" spans="1:3" ht="12.5" x14ac:dyDescent="0.25">
      <c r="A86" s="2">
        <f ca="1">IFERROR(__xludf.DUMMYFUNCTION("""COMPUTED_VALUE"""),46147.6666666666)</f>
        <v>46147.666666666599</v>
      </c>
      <c r="B86" s="1">
        <f ca="1">IFERROR(__xludf.DUMMYFUNCTION("""COMPUTED_VALUE"""),196.5)</f>
        <v>196.5</v>
      </c>
      <c r="C86" s="1">
        <f ca="1">IFERROR(__xludf.DUMMYFUNCTION("""COMPUTED_VALUE"""),355.26)</f>
        <v>355.26</v>
      </c>
    </row>
    <row r="87" spans="1:3" ht="12.5" x14ac:dyDescent="0.25">
      <c r="A87" s="2">
        <f ca="1">IFERROR(__xludf.DUMMYFUNCTION("""COMPUTED_VALUE"""),46148.6666666666)</f>
        <v>46148.666666666599</v>
      </c>
      <c r="B87" s="1">
        <f ca="1">IFERROR(__xludf.DUMMYFUNCTION("""COMPUTED_VALUE"""),207.83)</f>
        <v>207.83</v>
      </c>
      <c r="C87" s="1">
        <f ca="1">IFERROR(__xludf.DUMMYFUNCTION("""COMPUTED_VALUE"""),421.39)</f>
        <v>421.39</v>
      </c>
    </row>
    <row r="88" spans="1:3" ht="12.5" x14ac:dyDescent="0.25">
      <c r="A88" s="2">
        <f ca="1">IFERROR(__xludf.DUMMYFUNCTION("""COMPUTED_VALUE"""),46149.6666666666)</f>
        <v>46149.666666666599</v>
      </c>
      <c r="B88" s="1">
        <f ca="1">IFERROR(__xludf.DUMMYFUNCTION("""COMPUTED_VALUE"""),211.5)</f>
        <v>211.5</v>
      </c>
      <c r="C88" s="1">
        <f ca="1">IFERROR(__xludf.DUMMYFUNCTION("""COMPUTED_VALUE"""),408.46)</f>
        <v>408.46</v>
      </c>
    </row>
    <row r="89" spans="1:3" ht="12.5" x14ac:dyDescent="0.25">
      <c r="A89" s="2">
        <f ca="1">IFERROR(__xludf.DUMMYFUNCTION("""COMPUTED_VALUE"""),46150.6666666666)</f>
        <v>46150.666666666599</v>
      </c>
      <c r="B89" s="1">
        <f ca="1">IFERROR(__xludf.DUMMYFUNCTION("""COMPUTED_VALUE"""),215.2)</f>
        <v>215.2</v>
      </c>
      <c r="C89" s="1">
        <f ca="1">IFERROR(__xludf.DUMMYFUNCTION("""COMPUTED_VALUE"""),455.19)</f>
        <v>455.19</v>
      </c>
    </row>
    <row r="90" spans="1:3" ht="12.5" x14ac:dyDescent="0.25">
      <c r="A90" s="2">
        <f ca="1">IFERROR(__xludf.DUMMYFUNCTION("""COMPUTED_VALUE"""),46153.6666666666)</f>
        <v>46153.666666666599</v>
      </c>
      <c r="B90" s="1">
        <f ca="1">IFERROR(__xludf.DUMMYFUNCTION("""COMPUTED_VALUE"""),219.44)</f>
        <v>219.44</v>
      </c>
      <c r="C90" s="1">
        <f ca="1">IFERROR(__xludf.DUMMYFUNCTION("""COMPUTED_VALUE"""),458.79)</f>
        <v>458.79</v>
      </c>
    </row>
    <row r="91" spans="1:3" ht="12.5" x14ac:dyDescent="0.25">
      <c r="A91" s="2">
        <f ca="1">IFERROR(__xludf.DUMMYFUNCTION("""COMPUTED_VALUE"""),46154.6666666666)</f>
        <v>46154.666666666599</v>
      </c>
      <c r="B91" s="1">
        <f ca="1">IFERROR(__xludf.DUMMYFUNCTION("""COMPUTED_VALUE"""),220.78)</f>
        <v>220.78</v>
      </c>
      <c r="C91" s="1">
        <f ca="1">IFERROR(__xludf.DUMMYFUNCTION("""COMPUTED_VALUE"""),448.29)</f>
        <v>448.29</v>
      </c>
    </row>
    <row r="92" spans="1:3" ht="12.5" x14ac:dyDescent="0.25">
      <c r="A92" s="2">
        <f ca="1">IFERROR(__xludf.DUMMYFUNCTION("""COMPUTED_VALUE"""),46155.6666666666)</f>
        <v>46155.666666666599</v>
      </c>
      <c r="B92" s="1">
        <f ca="1">IFERROR(__xludf.DUMMYFUNCTION("""COMPUTED_VALUE"""),225.83)</f>
        <v>225.83</v>
      </c>
      <c r="C92" s="1">
        <f ca="1">IFERROR(__xludf.DUMMYFUNCTION("""COMPUTED_VALUE"""),445.5)</f>
        <v>445.5</v>
      </c>
    </row>
    <row r="93" spans="1:3" ht="12.5" x14ac:dyDescent="0.25">
      <c r="A93" s="2">
        <f ca="1">IFERROR(__xludf.DUMMYFUNCTION("""COMPUTED_VALUE"""),46156.6666666666)</f>
        <v>46156.666666666599</v>
      </c>
      <c r="B93" s="1">
        <f ca="1">IFERROR(__xludf.DUMMYFUNCTION("""COMPUTED_VALUE"""),235.74)</f>
        <v>235.74</v>
      </c>
      <c r="C93" s="1">
        <f ca="1">IFERROR(__xludf.DUMMYFUNCTION("""COMPUTED_VALUE"""),449.7)</f>
        <v>449.7</v>
      </c>
    </row>
    <row r="94" spans="1:3" ht="12.5" x14ac:dyDescent="0.25">
      <c r="A94" s="2">
        <f ca="1">IFERROR(__xludf.DUMMYFUNCTION("""COMPUTED_VALUE"""),46157.6666666666)</f>
        <v>46157.666666666599</v>
      </c>
      <c r="B94" s="1">
        <f ca="1">IFERROR(__xludf.DUMMYFUNCTION("""COMPUTED_VALUE"""),225.32)</f>
        <v>225.32</v>
      </c>
      <c r="C94" s="1">
        <f ca="1">IFERROR(__xludf.DUMMYFUNCTION("""COMPUTED_VALUE"""),424.1)</f>
        <v>424.1</v>
      </c>
    </row>
    <row r="95" spans="1:3" ht="12.5" x14ac:dyDescent="0.25">
      <c r="A95" s="2">
        <f ca="1">IFERROR(__xludf.DUMMYFUNCTION("""COMPUTED_VALUE"""),46160.6666666666)</f>
        <v>46160.666666666599</v>
      </c>
      <c r="B95" s="1">
        <f ca="1">IFERROR(__xludf.DUMMYFUNCTION("""COMPUTED_VALUE"""),222.32)</f>
        <v>222.32</v>
      </c>
      <c r="C95" s="1">
        <f ca="1">IFERROR(__xludf.DUMMYFUNCTION("""COMPUTED_VALUE"""),420.99)</f>
        <v>420.99</v>
      </c>
    </row>
    <row r="96" spans="1:3" ht="12.5" x14ac:dyDescent="0.25">
      <c r="A96" s="2">
        <f ca="1">IFERROR(__xludf.DUMMYFUNCTION("""COMPUTED_VALUE"""),46161.6666666666)</f>
        <v>46161.666666666599</v>
      </c>
      <c r="B96" s="1">
        <f ca="1">IFERROR(__xludf.DUMMYFUNCTION("""COMPUTED_VALUE"""),220.61)</f>
        <v>220.61</v>
      </c>
      <c r="C96" s="1">
        <f ca="1">IFERROR(__xludf.DUMMYFUNCTION("""COMPUTED_VALUE"""),414.05)</f>
        <v>414.05</v>
      </c>
    </row>
    <row r="97" spans="1:3" ht="12.5" x14ac:dyDescent="0.25">
      <c r="A97" s="2">
        <f ca="1">IFERROR(__xludf.DUMMYFUNCTION("""COMPUTED_VALUE"""),46162.6666666666)</f>
        <v>46162.666666666599</v>
      </c>
      <c r="B97" s="1">
        <f ca="1">IFERROR(__xludf.DUMMYFUNCTION("""COMPUTED_VALUE"""),223.47)</f>
        <v>223.47</v>
      </c>
      <c r="C97" s="1">
        <f ca="1">IFERROR(__xludf.DUMMYFUNCTION("""COMPUTED_VALUE"""),447.58)</f>
        <v>447.58</v>
      </c>
    </row>
    <row r="98" spans="1:3" ht="12.5" x14ac:dyDescent="0.25">
      <c r="A98" s="2">
        <f ca="1">IFERROR(__xludf.DUMMYFUNCTION("""COMPUTED_VALUE"""),46163.6666666666)</f>
        <v>46163.666666666599</v>
      </c>
      <c r="B98" s="1">
        <f ca="1">IFERROR(__xludf.DUMMYFUNCTION("""COMPUTED_VALUE"""),219.51)</f>
        <v>219.51</v>
      </c>
      <c r="C98" s="1">
        <f ca="1">IFERROR(__xludf.DUMMYFUNCTION("""COMPUTED_VALUE"""),449.59)</f>
        <v>449.59</v>
      </c>
    </row>
    <row r="99" spans="1:3" ht="12.5" x14ac:dyDescent="0.25">
      <c r="A99" s="2">
        <f ca="1">IFERROR(__xludf.DUMMYFUNCTION("""COMPUTED_VALUE"""),46164.6666666666)</f>
        <v>46164.666666666599</v>
      </c>
      <c r="B99" s="1">
        <f ca="1">IFERROR(__xludf.DUMMYFUNCTION("""COMPUTED_VALUE"""),215.33)</f>
        <v>215.33</v>
      </c>
      <c r="C99" s="1">
        <f ca="1">IFERROR(__xludf.DUMMYFUNCTION("""COMPUTED_VALUE"""),467.51)</f>
        <v>467.51</v>
      </c>
    </row>
    <row r="100" spans="1:3" ht="12.5" x14ac:dyDescent="0.25">
      <c r="A100" s="2">
        <f ca="1">IFERROR(__xludf.DUMMYFUNCTION("""COMPUTED_VALUE"""),46168.6666666666)</f>
        <v>46168.666666666599</v>
      </c>
      <c r="B100" s="1">
        <f ca="1">IFERROR(__xludf.DUMMYFUNCTION("""COMPUTED_VALUE"""),214.86)</f>
        <v>214.86</v>
      </c>
      <c r="C100" s="1">
        <f ca="1">IFERROR(__xludf.DUMMYFUNCTION("""COMPUTED_VALUE"""),503.89)</f>
        <v>503.89</v>
      </c>
    </row>
    <row r="101" spans="1:3" ht="12.5" x14ac:dyDescent="0.25">
      <c r="A101" s="2">
        <f ca="1">IFERROR(__xludf.DUMMYFUNCTION("""COMPUTED_VALUE"""),46169.6666666666)</f>
        <v>46169.666666666599</v>
      </c>
      <c r="B101" s="1">
        <f ca="1">IFERROR(__xludf.DUMMYFUNCTION("""COMPUTED_VALUE"""),212.6)</f>
        <v>212.6</v>
      </c>
      <c r="C101" s="1">
        <f ca="1">IFERROR(__xludf.DUMMYFUNCTION("""COMPUTED_VALUE"""),495.54)</f>
        <v>495.54</v>
      </c>
    </row>
    <row r="102" spans="1:3" ht="12.5" x14ac:dyDescent="0.25">
      <c r="A102" s="2">
        <f ca="1">IFERROR(__xludf.DUMMYFUNCTION("""COMPUTED_VALUE"""),46170.6666666666)</f>
        <v>46170.666666666599</v>
      </c>
      <c r="B102" s="1">
        <f ca="1">IFERROR(__xludf.DUMMYFUNCTION("""COMPUTED_VALUE"""),214.25)</f>
        <v>214.25</v>
      </c>
      <c r="C102" s="1">
        <f ca="1">IFERROR(__xludf.DUMMYFUNCTION("""COMPUTED_VALUE"""),518.09)</f>
        <v>518.09</v>
      </c>
    </row>
    <row r="103" spans="1:3" ht="12.5" x14ac:dyDescent="0.25">
      <c r="A103" s="2">
        <f ca="1">IFERROR(__xludf.DUMMYFUNCTION("""COMPUTED_VALUE"""),46171.6666666666)</f>
        <v>46171.666666666599</v>
      </c>
      <c r="B103" s="1">
        <f ca="1">IFERROR(__xludf.DUMMYFUNCTION("""COMPUTED_VALUE"""),211.14)</f>
        <v>211.14</v>
      </c>
      <c r="C103" s="1">
        <f ca="1">IFERROR(__xludf.DUMMYFUNCTION("""COMPUTED_VALUE"""),516.1)</f>
        <v>516.1</v>
      </c>
    </row>
    <row r="104" spans="1:3" ht="12.5" x14ac:dyDescent="0.25">
      <c r="A104" s="2">
        <f ca="1">IFERROR(__xludf.DUMMYFUNCTION("""COMPUTED_VALUE"""),46174.6666666666)</f>
        <v>46174.666666666599</v>
      </c>
      <c r="B104" s="1">
        <f ca="1">IFERROR(__xludf.DUMMYFUNCTION("""COMPUTED_VALUE"""),224.36)</f>
        <v>224.36</v>
      </c>
      <c r="C104" s="1">
        <f ca="1">IFERROR(__xludf.DUMMYFUNCTION("""COMPUTED_VALUE"""),510.13)</f>
        <v>510.13</v>
      </c>
    </row>
    <row r="105" spans="1:3" ht="12.5" x14ac:dyDescent="0.25">
      <c r="A105" s="2">
        <f ca="1">IFERROR(__xludf.DUMMYFUNCTION("""COMPUTED_VALUE"""),46175.6666666666)</f>
        <v>46175.666666666599</v>
      </c>
      <c r="B105" s="1">
        <f ca="1">IFERROR(__xludf.DUMMYFUNCTION("""COMPUTED_VALUE"""),222.82)</f>
        <v>222.82</v>
      </c>
      <c r="C105" s="1">
        <f ca="1">IFERROR(__xludf.DUMMYFUNCTION("""COMPUTED_VALUE"""),521.54)</f>
        <v>521.54</v>
      </c>
    </row>
    <row r="106" spans="1:3" ht="12.5" x14ac:dyDescent="0.25">
      <c r="A106" s="2">
        <f ca="1">IFERROR(__xludf.DUMMYFUNCTION("""COMPUTED_VALUE"""),46176.6666666666)</f>
        <v>46176.666666666599</v>
      </c>
      <c r="B106" s="1">
        <f ca="1">IFERROR(__xludf.DUMMYFUNCTION("""COMPUTED_VALUE"""),214.75)</f>
        <v>214.75</v>
      </c>
      <c r="C106" s="1">
        <f ca="1">IFERROR(__xludf.DUMMYFUNCTION("""COMPUTED_VALUE"""),542.52)</f>
        <v>542.52</v>
      </c>
    </row>
    <row r="107" spans="1:3" ht="12.5" x14ac:dyDescent="0.25">
      <c r="A107" s="2">
        <f ca="1">IFERROR(__xludf.DUMMYFUNCTION("""COMPUTED_VALUE"""),46177.6666666666)</f>
        <v>46177.666666666599</v>
      </c>
      <c r="B107" s="1">
        <f ca="1">IFERROR(__xludf.DUMMYFUNCTION("""COMPUTED_VALUE"""),218.66)</f>
        <v>218.66</v>
      </c>
      <c r="C107" s="1">
        <f ca="1">IFERROR(__xludf.DUMMYFUNCTION("""COMPUTED_VALUE"""),523.2)</f>
        <v>523.20000000000005</v>
      </c>
    </row>
    <row r="108" spans="1:3" ht="12.5" x14ac:dyDescent="0.25">
      <c r="A108" s="2">
        <f ca="1">IFERROR(__xludf.DUMMYFUNCTION("""COMPUTED_VALUE"""),46178.6666666666)</f>
        <v>46178.666666666599</v>
      </c>
      <c r="B108" s="1">
        <f ca="1">IFERROR(__xludf.DUMMYFUNCTION("""COMPUTED_VALUE"""),205.1)</f>
        <v>205.1</v>
      </c>
      <c r="C108" s="1">
        <f ca="1">IFERROR(__xludf.DUMMYFUNCTION("""COMPUTED_VALUE"""),466.38)</f>
        <v>466.38</v>
      </c>
    </row>
    <row r="109" spans="1:3" ht="12.5" x14ac:dyDescent="0.25">
      <c r="A109" s="2">
        <f ca="1">IFERROR(__xludf.DUMMYFUNCTION("""COMPUTED_VALUE"""),46181.6666666666)</f>
        <v>46181.666666666599</v>
      </c>
      <c r="B109" s="1">
        <f ca="1">IFERROR(__xludf.DUMMYFUNCTION("""COMPUTED_VALUE"""),208.64)</f>
        <v>208.64</v>
      </c>
      <c r="C109" s="1">
        <f ca="1">IFERROR(__xludf.DUMMYFUNCTION("""COMPUTED_VALUE"""),490.33)</f>
        <v>490.33</v>
      </c>
    </row>
    <row r="110" spans="1:3" ht="12.5" x14ac:dyDescent="0.25">
      <c r="A110" s="2">
        <f ca="1">IFERROR(__xludf.DUMMYFUNCTION("""COMPUTED_VALUE"""),46182.6666666666)</f>
        <v>46182.666666666599</v>
      </c>
      <c r="B110" s="1">
        <f ca="1">IFERROR(__xludf.DUMMYFUNCTION("""COMPUTED_VALUE"""),208.19)</f>
        <v>208.19</v>
      </c>
      <c r="C110" s="1">
        <f ca="1">IFERROR(__xludf.DUMMYFUNCTION("""COMPUTED_VALUE"""),475.51)</f>
        <v>475.51</v>
      </c>
    </row>
    <row r="111" spans="1:3" ht="12.5" x14ac:dyDescent="0.25">
      <c r="A111" s="2">
        <f ca="1">IFERROR(__xludf.DUMMYFUNCTION("""COMPUTED_VALUE"""),46183.6666666666)</f>
        <v>46183.666666666599</v>
      </c>
      <c r="B111" s="1">
        <f ca="1">IFERROR(__xludf.DUMMYFUNCTION("""COMPUTED_VALUE"""),200.42)</f>
        <v>200.42</v>
      </c>
      <c r="C111" s="1">
        <f ca="1">IFERROR(__xludf.DUMMYFUNCTION("""COMPUTED_VALUE"""),452.4)</f>
        <v>452.4</v>
      </c>
    </row>
    <row r="112" spans="1:3" ht="12.5" x14ac:dyDescent="0.25">
      <c r="A112" s="2">
        <f ca="1">IFERROR(__xludf.DUMMYFUNCTION("""COMPUTED_VALUE"""),46184.6666666666)</f>
        <v>46184.666666666599</v>
      </c>
      <c r="B112" s="1">
        <f ca="1">IFERROR(__xludf.DUMMYFUNCTION("""COMPUTED_VALUE"""),204.87)</f>
        <v>204.87</v>
      </c>
      <c r="C112" s="1">
        <f ca="1">IFERROR(__xludf.DUMMYFUNCTION("""COMPUTED_VALUE"""),488.45)</f>
        <v>488.45</v>
      </c>
    </row>
    <row r="113" spans="1:3" ht="12.5" x14ac:dyDescent="0.25">
      <c r="A113" s="2">
        <f ca="1">IFERROR(__xludf.DUMMYFUNCTION("""COMPUTED_VALUE"""),46185.6666666666)</f>
        <v>46185.666666666599</v>
      </c>
      <c r="B113" s="1">
        <f ca="1">IFERROR(__xludf.DUMMYFUNCTION("""COMPUTED_VALUE"""),205.19)</f>
        <v>205.19</v>
      </c>
      <c r="C113" s="1">
        <f ca="1">IFERROR(__xludf.DUMMYFUNCTION("""COMPUTED_VALUE"""),511.57)</f>
        <v>511.57</v>
      </c>
    </row>
    <row r="114" spans="1:3" ht="12.5" x14ac:dyDescent="0.25">
      <c r="A114" s="2">
        <f ca="1">IFERROR(__xludf.DUMMYFUNCTION("""COMPUTED_VALUE"""),46188.6666666666)</f>
        <v>46188.666666666599</v>
      </c>
      <c r="B114" s="1">
        <f ca="1">IFERROR(__xludf.DUMMYFUNCTION("""COMPUTED_VALUE"""),212.45)</f>
        <v>212.45</v>
      </c>
      <c r="C114" s="1">
        <f ca="1">IFERROR(__xludf.DUMMYFUNCTION("""COMPUTED_VALUE"""),547.26)</f>
        <v>547.26</v>
      </c>
    </row>
    <row r="115" spans="1:3" ht="12.5" x14ac:dyDescent="0.25">
      <c r="A115" s="2">
        <f ca="1">IFERROR(__xludf.DUMMYFUNCTION("""COMPUTED_VALUE"""),46189.6666666666)</f>
        <v>46189.666666666599</v>
      </c>
      <c r="B115" s="1">
        <f ca="1">IFERROR(__xludf.DUMMYFUNCTION("""COMPUTED_VALUE"""),207.41)</f>
        <v>207.41</v>
      </c>
      <c r="C115" s="1">
        <f ca="1">IFERROR(__xludf.DUMMYFUNCTION("""COMPUTED_VALUE"""),507.29)</f>
        <v>507.29</v>
      </c>
    </row>
    <row r="116" spans="1:3" ht="12.5" x14ac:dyDescent="0.25">
      <c r="A116" s="2">
        <f ca="1">IFERROR(__xludf.DUMMYFUNCTION("""COMPUTED_VALUE"""),46190.6666666666)</f>
        <v>46190.666666666599</v>
      </c>
      <c r="B116" s="1">
        <f ca="1">IFERROR(__xludf.DUMMYFUNCTION("""COMPUTED_VALUE"""),204.65)</f>
        <v>204.65</v>
      </c>
      <c r="C116" s="1">
        <f ca="1">IFERROR(__xludf.DUMMYFUNCTION("""COMPUTED_VALUE"""),512.48)</f>
        <v>512.48</v>
      </c>
    </row>
    <row r="117" spans="1:3" ht="12.5" x14ac:dyDescent="0.25">
      <c r="A117" s="2">
        <f ca="1">IFERROR(__xludf.DUMMYFUNCTION("""COMPUTED_VALUE"""),46191.6666666666)</f>
        <v>46191.666666666599</v>
      </c>
      <c r="B117" s="1">
        <f ca="1">IFERROR(__xludf.DUMMYFUNCTION("""COMPUTED_VALUE"""),210.69)</f>
        <v>210.69</v>
      </c>
      <c r="C117" s="1">
        <f ca="1">IFERROR(__xludf.DUMMYFUNCTION("""COMPUTED_VALUE"""),537.37)</f>
        <v>537.37</v>
      </c>
    </row>
    <row r="118" spans="1:3" ht="12.5" x14ac:dyDescent="0.25">
      <c r="A118" s="2">
        <f ca="1">IFERROR(__xludf.DUMMYFUNCTION("""COMPUTED_VALUE"""),46195.6666666666)</f>
        <v>46195.666666666599</v>
      </c>
      <c r="B118" s="1">
        <f ca="1">IFERROR(__xludf.DUMMYFUNCTION("""COMPUTED_VALUE"""),208.65)</f>
        <v>208.65</v>
      </c>
      <c r="C118" s="1">
        <f ca="1">IFERROR(__xludf.DUMMYFUNCTION("""COMPUTED_VALUE"""),551.63)</f>
        <v>551.63</v>
      </c>
    </row>
    <row r="119" spans="1:3" ht="12.5" x14ac:dyDescent="0.25">
      <c r="A119" s="2">
        <f ca="1">IFERROR(__xludf.DUMMYFUNCTION("""COMPUTED_VALUE"""),46196.6666666666)</f>
        <v>46196.666666666599</v>
      </c>
      <c r="B119" s="1">
        <f ca="1">IFERROR(__xludf.DUMMYFUNCTION("""COMPUTED_VALUE"""),200.04)</f>
        <v>200.04</v>
      </c>
      <c r="C119" s="1">
        <f ca="1">IFERROR(__xludf.DUMMYFUNCTION("""COMPUTED_VALUE"""),519.85)</f>
        <v>519.85</v>
      </c>
    </row>
    <row r="120" spans="1:3" ht="12.5" x14ac:dyDescent="0.25">
      <c r="A120" s="2">
        <f ca="1">IFERROR(__xludf.DUMMYFUNCTION("""COMPUTED_VALUE"""),46197.6666666666)</f>
        <v>46197.666666666599</v>
      </c>
      <c r="B120" s="1">
        <f ca="1">IFERROR(__xludf.DUMMYFUNCTION("""COMPUTED_VALUE"""),199)</f>
        <v>199</v>
      </c>
      <c r="C120" s="1">
        <f ca="1">IFERROR(__xludf.DUMMYFUNCTION("""COMPUTED_VALUE"""),519.74)</f>
        <v>519.74</v>
      </c>
    </row>
    <row r="121" spans="1:3" ht="12.5" x14ac:dyDescent="0.25">
      <c r="A121" s="2">
        <f ca="1">IFERROR(__xludf.DUMMYFUNCTION("""COMPUTED_VALUE"""),46198.6666666666)</f>
        <v>46198.666666666599</v>
      </c>
      <c r="B121" s="1">
        <f ca="1">IFERROR(__xludf.DUMMYFUNCTION("""COMPUTED_VALUE"""),195.74)</f>
        <v>195.74</v>
      </c>
      <c r="C121" s="1">
        <f ca="1">IFERROR(__xludf.DUMMYFUNCTION("""COMPUTED_VALUE"""),532.57)</f>
        <v>532.57000000000005</v>
      </c>
    </row>
    <row r="122" spans="1:3" ht="12.5" x14ac:dyDescent="0.25">
      <c r="A122" s="2">
        <f ca="1">IFERROR(__xludf.DUMMYFUNCTION("""COMPUTED_VALUE"""),46199.6666666666)</f>
        <v>46199.666666666599</v>
      </c>
      <c r="B122" s="1">
        <f ca="1">IFERROR(__xludf.DUMMYFUNCTION("""COMPUTED_VALUE"""),192.53)</f>
        <v>192.53</v>
      </c>
      <c r="C122" s="1">
        <f ca="1">IFERROR(__xludf.DUMMYFUNCTION("""COMPUTED_VALUE"""),521.58)</f>
        <v>521.58000000000004</v>
      </c>
    </row>
    <row r="123" spans="1:3" ht="12.5" x14ac:dyDescent="0.25">
      <c r="A123" s="2">
        <f ca="1">IFERROR(__xludf.DUMMYFUNCTION("""COMPUTED_VALUE"""),46202.6666666666)</f>
        <v>46202.666666666599</v>
      </c>
      <c r="B123" s="1">
        <f ca="1">IFERROR(__xludf.DUMMYFUNCTION("""COMPUTED_VALUE"""),194.97)</f>
        <v>194.97</v>
      </c>
      <c r="C123" s="1">
        <f ca="1">IFERROR(__xludf.DUMMYFUNCTION("""COMPUTED_VALUE"""),539.49)</f>
        <v>539.49</v>
      </c>
    </row>
    <row r="124" spans="1:3" ht="12.5" x14ac:dyDescent="0.25">
      <c r="A124" s="2">
        <f ca="1">IFERROR(__xludf.DUMMYFUNCTION("""COMPUTED_VALUE"""),46203.6666666666)</f>
        <v>46203.666666666599</v>
      </c>
      <c r="B124" s="1">
        <f ca="1">IFERROR(__xludf.DUMMYFUNCTION("""COMPUTED_VALUE"""),200.09)</f>
        <v>200.09</v>
      </c>
      <c r="C124" s="1">
        <f ca="1">IFERROR(__xludf.DUMMYFUNCTION("""COMPUTED_VALUE"""),580.91)</f>
        <v>580.91</v>
      </c>
    </row>
    <row r="125" spans="1:3" ht="12.5" x14ac:dyDescent="0.25">
      <c r="A125" s="2">
        <f ca="1">IFERROR(__xludf.DUMMYFUNCTION("""COMPUTED_VALUE"""),46204.6666666666)</f>
        <v>46204.666666666599</v>
      </c>
      <c r="B125" s="1">
        <f ca="1">IFERROR(__xludf.DUMMYFUNCTION("""COMPUTED_VALUE"""),197.58)</f>
        <v>197.58</v>
      </c>
      <c r="C125" s="1">
        <f ca="1">IFERROR(__xludf.DUMMYFUNCTION("""COMPUTED_VALUE"""),540.88)</f>
        <v>540.88</v>
      </c>
    </row>
    <row r="126" spans="1:3" ht="12.5" x14ac:dyDescent="0.25">
      <c r="A126" s="2">
        <f ca="1">IFERROR(__xludf.DUMMYFUNCTION("""COMPUTED_VALUE"""),46205.6666666666)</f>
        <v>46205.666666666599</v>
      </c>
      <c r="B126" s="1">
        <f ca="1">IFERROR(__xludf.DUMMYFUNCTION("""COMPUTED_VALUE"""),194.83)</f>
        <v>194.83</v>
      </c>
      <c r="C126" s="1">
        <f ca="1">IFERROR(__xludf.DUMMYFUNCTION("""COMPUTED_VALUE"""),517.82)</f>
        <v>517.82000000000005</v>
      </c>
    </row>
    <row r="127" spans="1:3" ht="12.5" x14ac:dyDescent="0.25">
      <c r="A127" s="2">
        <f ca="1">IFERROR(__xludf.DUMMYFUNCTION("""COMPUTED_VALUE"""),46209.6666666666)</f>
        <v>46209.666666666599</v>
      </c>
      <c r="B127" s="1">
        <f ca="1">IFERROR(__xludf.DUMMYFUNCTION("""COMPUTED_VALUE"""),195.55)</f>
        <v>195.55</v>
      </c>
      <c r="C127" s="1">
        <f ca="1">IFERROR(__xludf.DUMMYFUNCTION("""COMPUTED_VALUE"""),552.05)</f>
        <v>552.04999999999995</v>
      </c>
    </row>
    <row r="128" spans="1:3" ht="12.5" x14ac:dyDescent="0.25">
      <c r="A128" s="2">
        <f ca="1">IFERROR(__xludf.DUMMYFUNCTION("""COMPUTED_VALUE"""),46210.6666666666)</f>
        <v>46210.666666666599</v>
      </c>
      <c r="B128" s="1">
        <f ca="1">IFERROR(__xludf.DUMMYFUNCTION("""COMPUTED_VALUE"""),196.93)</f>
        <v>196.93</v>
      </c>
      <c r="C128" s="1">
        <f ca="1">IFERROR(__xludf.DUMMYFUNCTION("""COMPUTED_VALUE"""),516.11)</f>
        <v>516.11</v>
      </c>
    </row>
    <row r="129" spans="1:3" ht="12.5" x14ac:dyDescent="0.25">
      <c r="A129" s="2">
        <f ca="1">IFERROR(__xludf.DUMMYFUNCTION("""COMPUTED_VALUE"""),46211.6666666666)</f>
        <v>46211.666666666599</v>
      </c>
      <c r="B129" s="1">
        <f ca="1">IFERROR(__xludf.DUMMYFUNCTION("""COMPUTED_VALUE"""),204.12)</f>
        <v>204.12</v>
      </c>
      <c r="C129" s="1">
        <f ca="1">IFERROR(__xludf.DUMMYFUNCTION("""COMPUTED_VALUE"""),517.41)</f>
        <v>517.41</v>
      </c>
    </row>
    <row r="130" spans="1:3" ht="12.5" x14ac:dyDescent="0.25">
      <c r="A130" s="2">
        <f ca="1">IFERROR(__xludf.DUMMYFUNCTION("""COMPUTED_VALUE"""),46212.6666666666)</f>
        <v>46212.666666666599</v>
      </c>
      <c r="B130" s="1">
        <f ca="1">IFERROR(__xludf.DUMMYFUNCTION("""COMPUTED_VALUE"""),202.78)</f>
        <v>202.78</v>
      </c>
      <c r="C130" s="1">
        <f ca="1">IFERROR(__xludf.DUMMYFUNCTION("""COMPUTED_VALUE"""),546.72)</f>
        <v>546.72</v>
      </c>
    </row>
    <row r="131" spans="1:3" ht="12.5" x14ac:dyDescent="0.25">
      <c r="A131" s="2">
        <f ca="1">IFERROR(__xludf.DUMMYFUNCTION("""COMPUTED_VALUE"""),46213.6666666666)</f>
        <v>46213.666666666599</v>
      </c>
      <c r="B131" s="1">
        <f ca="1">IFERROR(__xludf.DUMMYFUNCTION("""COMPUTED_VALUE"""),210.96)</f>
        <v>210.96</v>
      </c>
      <c r="C131" s="1">
        <f ca="1">IFERROR(__xludf.DUMMYFUNCTION("""COMPUTED_VALUE"""),557.89)</f>
        <v>557.89</v>
      </c>
    </row>
    <row r="132" spans="1:3" ht="12.5" x14ac:dyDescent="0.25">
      <c r="A132" s="2">
        <f ca="1">IFERROR(__xludf.DUMMYFUNCTION("""COMPUTED_VALUE"""),46216.6666666666)</f>
        <v>46216.666666666599</v>
      </c>
      <c r="B132" s="1">
        <f ca="1">IFERROR(__xludf.DUMMYFUNCTION("""COMPUTED_VALUE"""),203.53)</f>
        <v>203.53</v>
      </c>
      <c r="C132" s="1">
        <f ca="1">IFERROR(__xludf.DUMMYFUNCTION("""COMPUTED_VALUE"""),534.39)</f>
        <v>534.39</v>
      </c>
    </row>
    <row r="133" spans="1:3" ht="12.5" x14ac:dyDescent="0.25">
      <c r="A133" s="2">
        <f ca="1">IFERROR(__xludf.DUMMYFUNCTION("""COMPUTED_VALUE"""),46217.6666666666)</f>
        <v>46217.666666666599</v>
      </c>
      <c r="B133" s="1">
        <f ca="1">IFERROR(__xludf.DUMMYFUNCTION("""COMPUTED_VALUE"""),211.8)</f>
        <v>211.8</v>
      </c>
      <c r="C133" s="1">
        <f ca="1">IFERROR(__xludf.DUMMYFUNCTION("""COMPUTED_VALUE"""),548.13)</f>
        <v>548.13</v>
      </c>
    </row>
    <row r="134" spans="1:3" ht="12.5" x14ac:dyDescent="0.25">
      <c r="A134" s="2">
        <f ca="1">IFERROR(__xludf.DUMMYFUNCTION("""COMPUTED_VALUE"""),46218.6666666666)</f>
        <v>46218.666666666599</v>
      </c>
      <c r="B134" s="1">
        <f ca="1">IFERROR(__xludf.DUMMYFUNCTION("""COMPUTED_VALUE"""),212.5)</f>
        <v>212.5</v>
      </c>
      <c r="C134" s="1">
        <f ca="1">IFERROR(__xludf.DUMMYFUNCTION("""COMPUTED_VALUE"""),529.14)</f>
        <v>529.14</v>
      </c>
    </row>
    <row r="135" spans="1:3" ht="12.5" x14ac:dyDescent="0.25">
      <c r="A135" s="2">
        <f ca="1">IFERROR(__xludf.DUMMYFUNCTION("""COMPUTED_VALUE"""),46219.6666666666)</f>
        <v>46219.666666666599</v>
      </c>
      <c r="B135" s="1">
        <f ca="1">IFERROR(__xludf.DUMMYFUNCTION("""COMPUTED_VALUE"""),207.4)</f>
        <v>207.4</v>
      </c>
      <c r="C135" s="1">
        <f ca="1">IFERROR(__xludf.DUMMYFUNCTION("""COMPUTED_VALUE"""),500.94)</f>
        <v>500.94</v>
      </c>
    </row>
    <row r="136" spans="1:3" ht="12.5" x14ac:dyDescent="0.25">
      <c r="A136" s="2">
        <f ca="1">IFERROR(__xludf.DUMMYFUNCTION("""COMPUTED_VALUE"""),46220.6666666666)</f>
        <v>46220.666666666599</v>
      </c>
      <c r="B136" s="1">
        <f ca="1">IFERROR(__xludf.DUMMYFUNCTION("""COMPUTED_VALUE"""),202.81)</f>
        <v>202.81</v>
      </c>
      <c r="C136" s="1">
        <f ca="1">IFERROR(__xludf.DUMMYFUNCTION("""COMPUTED_VALUE"""),495.76)</f>
        <v>495.76</v>
      </c>
    </row>
    <row r="137" spans="1:3" ht="12.5" x14ac:dyDescent="0.25">
      <c r="A137" s="2">
        <f ca="1">IFERROR(__xludf.DUMMYFUNCTION("""COMPUTED_VALUE"""),46223.6666666666)</f>
        <v>46223.666666666599</v>
      </c>
      <c r="B137" s="1">
        <f ca="1">IFERROR(__xludf.DUMMYFUNCTION("""COMPUTED_VALUE"""),203.28)</f>
        <v>203.28</v>
      </c>
      <c r="C137" s="1">
        <f ca="1">IFERROR(__xludf.DUMMYFUNCTION("""COMPUTED_VALUE"""),503.57)</f>
        <v>503.57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Celina Phung</cp:lastModifiedBy>
  <dcterms:modified xsi:type="dcterms:W3CDTF">2026-07-23T20:28:18Z</dcterms:modified>
</cp:coreProperties>
</file>